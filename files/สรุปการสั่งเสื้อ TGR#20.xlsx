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สั่ง" sheetId="1" state="visible" r:id="rId1"/>
    <sheet xmlns:r="http://schemas.openxmlformats.org/officeDocument/2006/relationships" name="สรุปไซซ์" sheetId="2" state="visible" r:id="rId2"/>
    <sheet xmlns:r="http://schemas.openxmlformats.org/officeDocument/2006/relationships" name="แยกที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i val="1"/>
      <color rgb="0058656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6201C"/>
      </patternFill>
    </fill>
    <fill>
      <patternFill patternType="solid">
        <fgColor rgb="00FDE3E1"/>
      </patternFill>
    </fill>
    <fill>
      <patternFill patternType="solid">
        <fgColor rgb="00E7ECE7"/>
      </patternFill>
    </fill>
  </fills>
  <borders count="2">
    <border>
      <left/>
      <right/>
      <top/>
      <bottom/>
      <diagonal/>
    </border>
    <border>
      <left style="thin">
        <color rgb="00C9D1CD"/>
      </left>
      <right style="thin">
        <color rgb="00C9D1CD"/>
      </right>
      <top style="thin">
        <color rgb="00C9D1CD"/>
      </top>
      <bottom style="thin">
        <color rgb="00C9D1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8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ลำดับ</t>
        </is>
      </c>
      <c r="B1" s="1" t="inlineStr">
        <is>
          <t>คอเสื้อ</t>
        </is>
      </c>
      <c r="C1" s="1" t="inlineStr">
        <is>
          <t>ไซซ์</t>
        </is>
      </c>
      <c r="D1" s="1" t="inlineStr">
        <is>
          <t>ชื่อบนเสื้อ</t>
        </is>
      </c>
      <c r="E1" s="1" t="inlineStr">
        <is>
          <t>ทีม</t>
        </is>
      </c>
      <c r="F1" s="1" t="inlineStr">
        <is>
          <t>ตำแหน่ง</t>
        </is>
      </c>
      <c r="G1" s="1" t="inlineStr">
        <is>
          <t>สีเสื้อ</t>
        </is>
      </c>
    </row>
    <row r="2">
      <c r="A2" s="2" t="n">
        <v>1</v>
      </c>
      <c r="B2" s="2" t="inlineStr">
        <is>
          <t>คอกลม</t>
        </is>
      </c>
      <c r="C2" s="2" t="inlineStr">
        <is>
          <t>S</t>
        </is>
      </c>
      <c r="D2" s="3" t="inlineStr">
        <is>
          <t>FIRST ♀</t>
        </is>
      </c>
      <c r="E2" s="3" t="inlineStr">
        <is>
          <t>muzik.scroll()</t>
        </is>
      </c>
      <c r="F2" s="3" t="inlineStr">
        <is>
          <t>Crew</t>
        </is>
      </c>
      <c r="G2" s="3" t="inlineStr">
        <is>
          <t>ดำ</t>
        </is>
      </c>
    </row>
    <row r="3">
      <c r="A3" s="2" t="n">
        <v>2</v>
      </c>
      <c r="B3" s="2" t="inlineStr">
        <is>
          <t>คอกลม</t>
        </is>
      </c>
      <c r="C3" s="2" t="inlineStr">
        <is>
          <t>M</t>
        </is>
      </c>
      <c r="D3" s="3" t="inlineStr">
        <is>
          <t>FASIA</t>
        </is>
      </c>
      <c r="E3" s="3" t="inlineStr">
        <is>
          <t>CANET</t>
        </is>
      </c>
      <c r="F3" s="3" t="inlineStr">
        <is>
          <t>Crew</t>
        </is>
      </c>
      <c r="G3" s="3" t="inlineStr">
        <is>
          <t>ดำ</t>
        </is>
      </c>
    </row>
    <row r="4">
      <c r="A4" s="2" t="n">
        <v>3</v>
      </c>
      <c r="B4" s="2" t="inlineStr">
        <is>
          <t>คอกลม</t>
        </is>
      </c>
      <c r="C4" s="2" t="inlineStr">
        <is>
          <t>L</t>
        </is>
      </c>
      <c r="D4" s="3" t="inlineStr">
        <is>
          <t>BIW</t>
        </is>
      </c>
      <c r="E4" s="3" t="inlineStr">
        <is>
          <t>muzik.scroll()</t>
        </is>
      </c>
      <c r="F4" s="3" t="inlineStr">
        <is>
          <t>Crew</t>
        </is>
      </c>
      <c r="G4" s="3" t="inlineStr">
        <is>
          <t>ดำ</t>
        </is>
      </c>
    </row>
    <row r="5">
      <c r="A5" s="2" t="n">
        <v>4</v>
      </c>
      <c r="B5" s="2" t="inlineStr">
        <is>
          <t>คอกลม</t>
        </is>
      </c>
      <c r="C5" s="2" t="inlineStr">
        <is>
          <t>L</t>
        </is>
      </c>
      <c r="D5" s="3" t="inlineStr">
        <is>
          <t>THORN</t>
        </is>
      </c>
      <c r="E5" s="3" t="inlineStr">
        <is>
          <t>muzik.scroll()</t>
        </is>
      </c>
      <c r="F5" s="3" t="inlineStr">
        <is>
          <t>Crew</t>
        </is>
      </c>
      <c r="G5" s="3" t="inlineStr">
        <is>
          <t>ดำ</t>
        </is>
      </c>
    </row>
    <row r="6">
      <c r="A6" s="2" t="n">
        <v>5</v>
      </c>
      <c r="B6" s="2" t="inlineStr">
        <is>
          <t>คอกลม</t>
        </is>
      </c>
      <c r="C6" s="2" t="inlineStr">
        <is>
          <t>XL</t>
        </is>
      </c>
      <c r="D6" s="3" t="inlineStr">
        <is>
          <t>BAM ♀</t>
        </is>
      </c>
      <c r="E6" s="3" t="inlineStr">
        <is>
          <t>CANET</t>
        </is>
      </c>
      <c r="F6" s="3" t="inlineStr">
        <is>
          <t>Crew</t>
        </is>
      </c>
      <c r="G6" s="3" t="inlineStr">
        <is>
          <t>ดำ</t>
        </is>
      </c>
    </row>
    <row r="7">
      <c r="A7" s="2" t="n">
        <v>6</v>
      </c>
      <c r="B7" s="2" t="inlineStr">
        <is>
          <t>คอกลม</t>
        </is>
      </c>
      <c r="C7" s="2" t="inlineStr">
        <is>
          <t>XL</t>
        </is>
      </c>
      <c r="D7" s="3" t="inlineStr">
        <is>
          <t>SUNNY</t>
        </is>
      </c>
      <c r="E7" s="3" t="inlineStr">
        <is>
          <t>CANET</t>
        </is>
      </c>
      <c r="F7" s="3" t="inlineStr">
        <is>
          <t>Crew</t>
        </is>
      </c>
      <c r="G7" s="3" t="inlineStr">
        <is>
          <t>ดำ</t>
        </is>
      </c>
    </row>
    <row r="8">
      <c r="A8" s="2" t="n">
        <v>7</v>
      </c>
      <c r="B8" s="2" t="inlineStr">
        <is>
          <t>คอกลม</t>
        </is>
      </c>
      <c r="C8" s="2" t="inlineStr">
        <is>
          <t>XL</t>
        </is>
      </c>
      <c r="D8" s="3" t="inlineStr">
        <is>
          <t>OHM</t>
        </is>
      </c>
      <c r="E8" s="3" t="inlineStr">
        <is>
          <t>muzik.click()</t>
        </is>
      </c>
      <c r="F8" s="3" t="inlineStr">
        <is>
          <t>Crew</t>
        </is>
      </c>
      <c r="G8" s="3" t="inlineStr">
        <is>
          <t>ดำ</t>
        </is>
      </c>
    </row>
    <row r="9">
      <c r="A9" s="2" t="n">
        <v>8</v>
      </c>
      <c r="B9" s="2" t="inlineStr">
        <is>
          <t>คอกลม</t>
        </is>
      </c>
      <c r="C9" s="2" t="inlineStr">
        <is>
          <t>XL</t>
        </is>
      </c>
      <c r="D9" s="3" t="inlineStr">
        <is>
          <t>US</t>
        </is>
      </c>
      <c r="E9" s="3" t="inlineStr">
        <is>
          <t>muzik.click()</t>
        </is>
      </c>
      <c r="F9" s="3" t="inlineStr">
        <is>
          <t>Crew</t>
        </is>
      </c>
      <c r="G9" s="3" t="inlineStr">
        <is>
          <t>ดำ</t>
        </is>
      </c>
    </row>
    <row r="10">
      <c r="A10" s="2" t="n">
        <v>9</v>
      </c>
      <c r="B10" s="2" t="inlineStr">
        <is>
          <t>คอกลม</t>
        </is>
      </c>
      <c r="C10" s="2" t="inlineStr">
        <is>
          <t>2XL</t>
        </is>
      </c>
      <c r="D10" s="3" t="inlineStr">
        <is>
          <t>A.SAKE</t>
        </is>
      </c>
      <c r="E10" s="3" t="inlineStr">
        <is>
          <t>CANET</t>
        </is>
      </c>
      <c r="F10" s="3" t="inlineStr">
        <is>
          <t>Coach</t>
        </is>
      </c>
      <c r="G10" s="3" t="inlineStr">
        <is>
          <t>ดำ</t>
        </is>
      </c>
    </row>
    <row r="11">
      <c r="A11" s="2" t="n">
        <v>10</v>
      </c>
      <c r="B11" s="2" t="inlineStr">
        <is>
          <t>คอกลม</t>
        </is>
      </c>
      <c r="C11" s="2" t="inlineStr">
        <is>
          <t>2XL</t>
        </is>
      </c>
      <c r="D11" s="3" t="inlineStr">
        <is>
          <t>JAZZ</t>
        </is>
      </c>
      <c r="E11" s="3" t="inlineStr">
        <is>
          <t>muzik.click()</t>
        </is>
      </c>
      <c r="F11" s="3" t="inlineStr">
        <is>
          <t>Crew</t>
        </is>
      </c>
      <c r="G11" s="3" t="inlineStr">
        <is>
          <t>ดำ</t>
        </is>
      </c>
    </row>
    <row r="12">
      <c r="A12" s="2" t="n">
        <v>11</v>
      </c>
      <c r="B12" s="2" t="inlineStr">
        <is>
          <t>คอกลม</t>
        </is>
      </c>
      <c r="C12" s="2" t="inlineStr">
        <is>
          <t>2XL</t>
        </is>
      </c>
      <c r="D12" s="3" t="inlineStr">
        <is>
          <t>GARFIELD</t>
        </is>
      </c>
      <c r="E12" s="3" t="inlineStr">
        <is>
          <t>muzik.scroll()</t>
        </is>
      </c>
      <c r="F12" s="3" t="inlineStr">
        <is>
          <t>Crew</t>
        </is>
      </c>
      <c r="G12" s="3" t="inlineStr">
        <is>
          <t>ดำ</t>
        </is>
      </c>
    </row>
    <row r="13">
      <c r="A13" s="2" t="n">
        <v>12</v>
      </c>
      <c r="B13" s="2" t="inlineStr">
        <is>
          <t>คอกลม</t>
        </is>
      </c>
      <c r="C13" s="2" t="inlineStr">
        <is>
          <t>2XL</t>
        </is>
      </c>
      <c r="D13" s="3" t="inlineStr">
        <is>
          <t>MINT</t>
        </is>
      </c>
      <c r="E13" s="3" t="inlineStr">
        <is>
          <t>muzik.scroll()</t>
        </is>
      </c>
      <c r="F13" s="3" t="inlineStr">
        <is>
          <t>Crew</t>
        </is>
      </c>
      <c r="G13" s="3" t="inlineStr">
        <is>
          <t>ดำ</t>
        </is>
      </c>
    </row>
    <row r="14">
      <c r="A14" s="2" t="n">
        <v>13</v>
      </c>
      <c r="B14" s="2" t="inlineStr">
        <is>
          <t>คอกลม</t>
        </is>
      </c>
      <c r="C14" s="2" t="inlineStr">
        <is>
          <t>3XL</t>
        </is>
      </c>
      <c r="D14" s="3" t="inlineStr">
        <is>
          <t>BAM ♂</t>
        </is>
      </c>
      <c r="E14" s="3" t="inlineStr">
        <is>
          <t>CANET</t>
        </is>
      </c>
      <c r="F14" s="3" t="inlineStr">
        <is>
          <t>Crew</t>
        </is>
      </c>
      <c r="G14" s="3" t="inlineStr">
        <is>
          <t>ดำ</t>
        </is>
      </c>
    </row>
    <row r="15">
      <c r="A15" s="2" t="n">
        <v>14</v>
      </c>
      <c r="B15" s="2" t="inlineStr">
        <is>
          <t>คอกลม</t>
        </is>
      </c>
      <c r="C15" s="2" t="inlineStr">
        <is>
          <t>3XL</t>
        </is>
      </c>
      <c r="D15" s="3" t="inlineStr">
        <is>
          <t>FIRST ♂</t>
        </is>
      </c>
      <c r="E15" s="3" t="inlineStr">
        <is>
          <t>muzik.click()</t>
        </is>
      </c>
      <c r="F15" s="3" t="inlineStr">
        <is>
          <t>Crew</t>
        </is>
      </c>
      <c r="G15" s="3" t="inlineStr">
        <is>
          <t>ดำ</t>
        </is>
      </c>
    </row>
    <row r="16">
      <c r="A16" s="4" t="n">
        <v>15</v>
      </c>
      <c r="B16" s="4" t="inlineStr">
        <is>
          <t>คอ V</t>
        </is>
      </c>
      <c r="C16" s="4" t="inlineStr">
        <is>
          <t>M</t>
        </is>
      </c>
      <c r="D16" s="5" t="inlineStr">
        <is>
          <t>GUS</t>
        </is>
      </c>
      <c r="E16" s="5" t="inlineStr">
        <is>
          <t>muzik.click()</t>
        </is>
      </c>
      <c r="F16" s="5" t="inlineStr">
        <is>
          <t>Crew</t>
        </is>
      </c>
      <c r="G16" s="5" t="inlineStr">
        <is>
          <t>ดำ</t>
        </is>
      </c>
    </row>
    <row r="17">
      <c r="A17" s="4" t="n">
        <v>16</v>
      </c>
      <c r="B17" s="4" t="inlineStr">
        <is>
          <t>คอ V</t>
        </is>
      </c>
      <c r="C17" s="4" t="inlineStr">
        <is>
          <t>L</t>
        </is>
      </c>
      <c r="D17" s="5" t="inlineStr">
        <is>
          <t>BOSSU</t>
        </is>
      </c>
      <c r="E17" s="5" t="inlineStr">
        <is>
          <t>CANET</t>
        </is>
      </c>
      <c r="F17" s="5" t="inlineStr">
        <is>
          <t>Crew</t>
        </is>
      </c>
      <c r="G17" s="5" t="inlineStr">
        <is>
          <t>ดำ</t>
        </is>
      </c>
    </row>
    <row r="18">
      <c r="A18" s="4" t="n">
        <v>17</v>
      </c>
      <c r="B18" s="4" t="inlineStr">
        <is>
          <t>คอ V</t>
        </is>
      </c>
      <c r="C18" s="4" t="inlineStr">
        <is>
          <t>XL</t>
        </is>
      </c>
      <c r="D18" s="5" t="inlineStr">
        <is>
          <t>A.POOH</t>
        </is>
      </c>
      <c r="E18" s="5" t="inlineStr">
        <is>
          <t>muzik.click()</t>
        </is>
      </c>
      <c r="F18" s="5" t="inlineStr">
        <is>
          <t>Coach</t>
        </is>
      </c>
      <c r="G18" s="5" t="inlineStr">
        <is>
          <t>ดำ</t>
        </is>
      </c>
    </row>
    <row r="19">
      <c r="A19" s="4" t="n">
        <v>18</v>
      </c>
      <c r="B19" s="4" t="inlineStr">
        <is>
          <t>คอ V</t>
        </is>
      </c>
      <c r="C19" s="4" t="inlineStr">
        <is>
          <t>2XL</t>
        </is>
      </c>
      <c r="D19" s="5" t="inlineStr">
        <is>
          <t>A.PLE</t>
        </is>
      </c>
      <c r="E19" s="5" t="inlineStr">
        <is>
          <t>muzik.scroll()</t>
        </is>
      </c>
      <c r="F19" s="5" t="inlineStr">
        <is>
          <t>Coach</t>
        </is>
      </c>
      <c r="G19" s="5" t="inlineStr">
        <is>
          <t>ดำ</t>
        </is>
      </c>
    </row>
    <row r="21">
      <c r="A21" s="6" t="inlineStr">
        <is>
          <t>เรียงตามคอเสื้อ (คอกลมก่อน) แล้วตามไซซ์ S → 5XL · ทุกตัวเป็นแบบที่ 1 เสื้อดำ พร้อมคำโปรย ARS LONGA, ROBUSTA BREVIS · ข้อมูลจากฟอร์มโหวต (คอลัมน์ C, D, E, G, 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ไซซ์</t>
        </is>
      </c>
      <c r="B1" s="1" t="inlineStr">
        <is>
          <t>รอบอก (นิ้ว)</t>
        </is>
      </c>
      <c r="C1" s="1" t="inlineStr">
        <is>
          <t>ยาว (นิ้ว)</t>
        </is>
      </c>
      <c r="D1" s="1" t="inlineStr">
        <is>
          <t>คอกลม</t>
        </is>
      </c>
      <c r="E1" s="1" t="inlineStr">
        <is>
          <t>คอ V</t>
        </is>
      </c>
      <c r="F1" s="1" t="inlineStr">
        <is>
          <t>รวม</t>
        </is>
      </c>
    </row>
    <row r="2">
      <c r="A2" s="2" t="inlineStr">
        <is>
          <t>S</t>
        </is>
      </c>
      <c r="B2" s="2" t="n">
        <v>34</v>
      </c>
      <c r="C2" s="2" t="n">
        <v>25</v>
      </c>
      <c r="D2" s="2">
        <f>COUNTIFS('รายการสั่ง'!$C$2:$C$19,$A2,'รายการสั่ง'!$B$2:$B$19,"คอกลม")</f>
        <v/>
      </c>
      <c r="E2" s="2">
        <f>COUNTIFS('รายการสั่ง'!$C$2:$C$19,$A2,'รายการสั่ง'!$B$2:$B$19,"คอ V")</f>
        <v/>
      </c>
      <c r="F2" s="2">
        <f>D2+E2</f>
        <v/>
      </c>
    </row>
    <row r="3">
      <c r="A3" s="2" t="inlineStr">
        <is>
          <t>M</t>
        </is>
      </c>
      <c r="B3" s="2" t="n">
        <v>36</v>
      </c>
      <c r="C3" s="2" t="n">
        <v>27</v>
      </c>
      <c r="D3" s="2">
        <f>COUNTIFS('รายการสั่ง'!$C$2:$C$19,$A3,'รายการสั่ง'!$B$2:$B$19,"คอกลม")</f>
        <v/>
      </c>
      <c r="E3" s="2">
        <f>COUNTIFS('รายการสั่ง'!$C$2:$C$19,$A3,'รายการสั่ง'!$B$2:$B$19,"คอ V")</f>
        <v/>
      </c>
      <c r="F3" s="2">
        <f>D3+E3</f>
        <v/>
      </c>
    </row>
    <row r="4">
      <c r="A4" s="2" t="inlineStr">
        <is>
          <t>L</t>
        </is>
      </c>
      <c r="B4" s="2" t="n">
        <v>40</v>
      </c>
      <c r="C4" s="2" t="n">
        <v>29</v>
      </c>
      <c r="D4" s="2">
        <f>COUNTIFS('รายการสั่ง'!$C$2:$C$19,$A4,'รายการสั่ง'!$B$2:$B$19,"คอกลม")</f>
        <v/>
      </c>
      <c r="E4" s="2">
        <f>COUNTIFS('รายการสั่ง'!$C$2:$C$19,$A4,'รายการสั่ง'!$B$2:$B$19,"คอ V")</f>
        <v/>
      </c>
      <c r="F4" s="2">
        <f>D4+E4</f>
        <v/>
      </c>
    </row>
    <row r="5">
      <c r="A5" s="2" t="inlineStr">
        <is>
          <t>XL</t>
        </is>
      </c>
      <c r="B5" s="2" t="n">
        <v>44</v>
      </c>
      <c r="C5" s="2" t="n">
        <v>30</v>
      </c>
      <c r="D5" s="2">
        <f>COUNTIFS('รายการสั่ง'!$C$2:$C$19,$A5,'รายการสั่ง'!$B$2:$B$19,"คอกลม")</f>
        <v/>
      </c>
      <c r="E5" s="2">
        <f>COUNTIFS('รายการสั่ง'!$C$2:$C$19,$A5,'รายการสั่ง'!$B$2:$B$19,"คอ V")</f>
        <v/>
      </c>
      <c r="F5" s="2">
        <f>D5+E5</f>
        <v/>
      </c>
    </row>
    <row r="6">
      <c r="A6" s="2" t="inlineStr">
        <is>
          <t>2XL</t>
        </is>
      </c>
      <c r="B6" s="2" t="n">
        <v>46</v>
      </c>
      <c r="C6" s="2" t="n">
        <v>31</v>
      </c>
      <c r="D6" s="2">
        <f>COUNTIFS('รายการสั่ง'!$C$2:$C$19,$A6,'รายการสั่ง'!$B$2:$B$19,"คอกลม")</f>
        <v/>
      </c>
      <c r="E6" s="2">
        <f>COUNTIFS('รายการสั่ง'!$C$2:$C$19,$A6,'รายการสั่ง'!$B$2:$B$19,"คอ V")</f>
        <v/>
      </c>
      <c r="F6" s="2">
        <f>D6+E6</f>
        <v/>
      </c>
    </row>
    <row r="7">
      <c r="A7" s="2" t="inlineStr">
        <is>
          <t>3XL</t>
        </is>
      </c>
      <c r="B7" s="2" t="n">
        <v>50</v>
      </c>
      <c r="C7" s="2" t="n">
        <v>33</v>
      </c>
      <c r="D7" s="2">
        <f>COUNTIFS('รายการสั่ง'!$C$2:$C$19,$A7,'รายการสั่ง'!$B$2:$B$19,"คอกลม")</f>
        <v/>
      </c>
      <c r="E7" s="2">
        <f>COUNTIFS('รายการสั่ง'!$C$2:$C$19,$A7,'รายการสั่ง'!$B$2:$B$19,"คอ V")</f>
        <v/>
      </c>
      <c r="F7" s="2">
        <f>D7+E7</f>
        <v/>
      </c>
    </row>
    <row r="8">
      <c r="A8" s="2" t="inlineStr">
        <is>
          <t>4XL</t>
        </is>
      </c>
      <c r="B8" s="2" t="n">
        <v>54</v>
      </c>
      <c r="C8" s="2" t="n">
        <v>34</v>
      </c>
      <c r="D8" s="2">
        <f>COUNTIFS('รายการสั่ง'!$C$2:$C$19,$A8,'รายการสั่ง'!$B$2:$B$19,"คอกลม")</f>
        <v/>
      </c>
      <c r="E8" s="2">
        <f>COUNTIFS('รายการสั่ง'!$C$2:$C$19,$A8,'รายการสั่ง'!$B$2:$B$19,"คอ V")</f>
        <v/>
      </c>
      <c r="F8" s="2">
        <f>D8+E8</f>
        <v/>
      </c>
    </row>
    <row r="9">
      <c r="A9" s="2" t="inlineStr">
        <is>
          <t>5XL</t>
        </is>
      </c>
      <c r="B9" s="2" t="n">
        <v>60</v>
      </c>
      <c r="C9" s="2" t="n">
        <v>35</v>
      </c>
      <c r="D9" s="2">
        <f>COUNTIFS('รายการสั่ง'!$C$2:$C$19,$A9,'รายการสั่ง'!$B$2:$B$19,"คอกลม")</f>
        <v/>
      </c>
      <c r="E9" s="2">
        <f>COUNTIFS('รายการสั่ง'!$C$2:$C$19,$A9,'รายการสั่ง'!$B$2:$B$19,"คอ V")</f>
        <v/>
      </c>
      <c r="F9" s="2">
        <f>D9+E9</f>
        <v/>
      </c>
    </row>
    <row r="10">
      <c r="A10" s="7" t="inlineStr">
        <is>
          <t>รวม</t>
        </is>
      </c>
      <c r="B10" s="7" t="n"/>
      <c r="C10" s="7" t="n"/>
      <c r="D10" s="7">
        <f>SUM(D2:D9)</f>
        <v/>
      </c>
      <c r="E10" s="7">
        <f>SUM(E2:E9)</f>
        <v/>
      </c>
      <c r="F10" s="7">
        <f>SUM(F2:F9)</f>
        <v/>
      </c>
    </row>
    <row r="12">
      <c r="A12" s="6" t="inlineStr">
        <is>
          <t>รอบอกและความยาวจากตารางไซซ์ของร้าน (คลาดเคลื่อนได้ ±1 นิ้ว) · จำนวนนับจากแท็บ รายการสั่ง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ทีม</t>
        </is>
      </c>
      <c r="B1" s="1" t="inlineStr">
        <is>
          <t>S</t>
        </is>
      </c>
      <c r="C1" s="1" t="inlineStr">
        <is>
          <t>M</t>
        </is>
      </c>
      <c r="D1" s="1" t="inlineStr">
        <is>
          <t>L</t>
        </is>
      </c>
      <c r="E1" s="1" t="inlineStr">
        <is>
          <t>XL</t>
        </is>
      </c>
      <c r="F1" s="1" t="inlineStr">
        <is>
          <t>2XL</t>
        </is>
      </c>
      <c r="G1" s="1" t="inlineStr">
        <is>
          <t>3XL</t>
        </is>
      </c>
      <c r="H1" s="1" t="inlineStr">
        <is>
          <t>4XL</t>
        </is>
      </c>
      <c r="I1" s="1" t="inlineStr">
        <is>
          <t>5XL</t>
        </is>
      </c>
      <c r="J1" s="1" t="inlineStr">
        <is>
          <t>คอกลม</t>
        </is>
      </c>
      <c r="K1" s="1" t="inlineStr">
        <is>
          <t>คอ V</t>
        </is>
      </c>
      <c r="L1" s="1" t="inlineStr">
        <is>
          <t>รวม</t>
        </is>
      </c>
    </row>
    <row r="2">
      <c r="A2" s="3" t="inlineStr">
        <is>
          <t>CANET</t>
        </is>
      </c>
      <c r="B2" s="2">
        <f>COUNTIFS('รายการสั่ง'!$E$2:$E$19,$A2,'รายการสั่ง'!$C$2:$C$19,"S")</f>
        <v/>
      </c>
      <c r="C2" s="2">
        <f>COUNTIFS('รายการสั่ง'!$E$2:$E$19,$A2,'รายการสั่ง'!$C$2:$C$19,"M")</f>
        <v/>
      </c>
      <c r="D2" s="2">
        <f>COUNTIFS('รายการสั่ง'!$E$2:$E$19,$A2,'รายการสั่ง'!$C$2:$C$19,"L")</f>
        <v/>
      </c>
      <c r="E2" s="2">
        <f>COUNTIFS('รายการสั่ง'!$E$2:$E$19,$A2,'รายการสั่ง'!$C$2:$C$19,"XL")</f>
        <v/>
      </c>
      <c r="F2" s="2">
        <f>COUNTIFS('รายการสั่ง'!$E$2:$E$19,$A2,'รายการสั่ง'!$C$2:$C$19,"2XL")</f>
        <v/>
      </c>
      <c r="G2" s="2">
        <f>COUNTIFS('รายการสั่ง'!$E$2:$E$19,$A2,'รายการสั่ง'!$C$2:$C$19,"3XL")</f>
        <v/>
      </c>
      <c r="H2" s="2">
        <f>COUNTIFS('รายการสั่ง'!$E$2:$E$19,$A2,'รายการสั่ง'!$C$2:$C$19,"4XL")</f>
        <v/>
      </c>
      <c r="I2" s="2">
        <f>COUNTIFS('รายการสั่ง'!$E$2:$E$19,$A2,'รายการสั่ง'!$C$2:$C$19,"5XL")</f>
        <v/>
      </c>
      <c r="J2" s="2">
        <f>COUNTIFS('รายการสั่ง'!$E$2:$E$19,$A2,'รายการสั่ง'!$B$2:$B$19,"คอกลม")</f>
        <v/>
      </c>
      <c r="K2" s="2">
        <f>COUNTIFS('รายการสั่ง'!$E$2:$E$19,$A2,'รายการสั่ง'!$B$2:$B$19,"คอ V")</f>
        <v/>
      </c>
      <c r="L2" s="2">
        <f>COUNTIFS('รายการสั่ง'!$E$2:$E$19,$A2)</f>
        <v/>
      </c>
    </row>
    <row r="3">
      <c r="A3" s="3" t="inlineStr">
        <is>
          <t>muzik.click()</t>
        </is>
      </c>
      <c r="B3" s="2">
        <f>COUNTIFS('รายการสั่ง'!$E$2:$E$19,$A3,'รายการสั่ง'!$C$2:$C$19,"S")</f>
        <v/>
      </c>
      <c r="C3" s="2">
        <f>COUNTIFS('รายการสั่ง'!$E$2:$E$19,$A3,'รายการสั่ง'!$C$2:$C$19,"M")</f>
        <v/>
      </c>
      <c r="D3" s="2">
        <f>COUNTIFS('รายการสั่ง'!$E$2:$E$19,$A3,'รายการสั่ง'!$C$2:$C$19,"L")</f>
        <v/>
      </c>
      <c r="E3" s="2">
        <f>COUNTIFS('รายการสั่ง'!$E$2:$E$19,$A3,'รายการสั่ง'!$C$2:$C$19,"XL")</f>
        <v/>
      </c>
      <c r="F3" s="2">
        <f>COUNTIFS('รายการสั่ง'!$E$2:$E$19,$A3,'รายการสั่ง'!$C$2:$C$19,"2XL")</f>
        <v/>
      </c>
      <c r="G3" s="2">
        <f>COUNTIFS('รายการสั่ง'!$E$2:$E$19,$A3,'รายการสั่ง'!$C$2:$C$19,"3XL")</f>
        <v/>
      </c>
      <c r="H3" s="2">
        <f>COUNTIFS('รายการสั่ง'!$E$2:$E$19,$A3,'รายการสั่ง'!$C$2:$C$19,"4XL")</f>
        <v/>
      </c>
      <c r="I3" s="2">
        <f>COUNTIFS('รายการสั่ง'!$E$2:$E$19,$A3,'รายการสั่ง'!$C$2:$C$19,"5XL")</f>
        <v/>
      </c>
      <c r="J3" s="2">
        <f>COUNTIFS('รายการสั่ง'!$E$2:$E$19,$A3,'รายการสั่ง'!$B$2:$B$19,"คอกลม")</f>
        <v/>
      </c>
      <c r="K3" s="2">
        <f>COUNTIFS('รายการสั่ง'!$E$2:$E$19,$A3,'รายการสั่ง'!$B$2:$B$19,"คอ V")</f>
        <v/>
      </c>
      <c r="L3" s="2">
        <f>COUNTIFS('รายการสั่ง'!$E$2:$E$19,$A3)</f>
        <v/>
      </c>
    </row>
    <row r="4">
      <c r="A4" s="3" t="inlineStr">
        <is>
          <t>muzik.scroll()</t>
        </is>
      </c>
      <c r="B4" s="2">
        <f>COUNTIFS('รายการสั่ง'!$E$2:$E$19,$A4,'รายการสั่ง'!$C$2:$C$19,"S")</f>
        <v/>
      </c>
      <c r="C4" s="2">
        <f>COUNTIFS('รายการสั่ง'!$E$2:$E$19,$A4,'รายการสั่ง'!$C$2:$C$19,"M")</f>
        <v/>
      </c>
      <c r="D4" s="2">
        <f>COUNTIFS('รายการสั่ง'!$E$2:$E$19,$A4,'รายการสั่ง'!$C$2:$C$19,"L")</f>
        <v/>
      </c>
      <c r="E4" s="2">
        <f>COUNTIFS('รายการสั่ง'!$E$2:$E$19,$A4,'รายการสั่ง'!$C$2:$C$19,"XL")</f>
        <v/>
      </c>
      <c r="F4" s="2">
        <f>COUNTIFS('รายการสั่ง'!$E$2:$E$19,$A4,'รายการสั่ง'!$C$2:$C$19,"2XL")</f>
        <v/>
      </c>
      <c r="G4" s="2">
        <f>COUNTIFS('รายการสั่ง'!$E$2:$E$19,$A4,'รายการสั่ง'!$C$2:$C$19,"3XL")</f>
        <v/>
      </c>
      <c r="H4" s="2">
        <f>COUNTIFS('รายการสั่ง'!$E$2:$E$19,$A4,'รายการสั่ง'!$C$2:$C$19,"4XL")</f>
        <v/>
      </c>
      <c r="I4" s="2">
        <f>COUNTIFS('รายการสั่ง'!$E$2:$E$19,$A4,'รายการสั่ง'!$C$2:$C$19,"5XL")</f>
        <v/>
      </c>
      <c r="J4" s="2">
        <f>COUNTIFS('รายการสั่ง'!$E$2:$E$19,$A4,'รายการสั่ง'!$B$2:$B$19,"คอกลม")</f>
        <v/>
      </c>
      <c r="K4" s="2">
        <f>COUNTIFS('รายการสั่ง'!$E$2:$E$19,$A4,'รายการสั่ง'!$B$2:$B$19,"คอ V")</f>
        <v/>
      </c>
      <c r="L4" s="2">
        <f>COUNTIFS('รายการสั่ง'!$E$2:$E$19,$A4)</f>
        <v/>
      </c>
    </row>
    <row r="5">
      <c r="A5" s="8" t="inlineStr">
        <is>
          <t>รวม</t>
        </is>
      </c>
      <c r="B5" s="7">
        <f>SUM(B2:B4)</f>
        <v/>
      </c>
      <c r="C5" s="7">
        <f>SUM(C2:C4)</f>
        <v/>
      </c>
      <c r="D5" s="7">
        <f>SUM(D2:D4)</f>
        <v/>
      </c>
      <c r="E5" s="7">
        <f>SUM(E2:E4)</f>
        <v/>
      </c>
      <c r="F5" s="7">
        <f>SUM(F2:F4)</f>
        <v/>
      </c>
      <c r="G5" s="7">
        <f>SUM(G2:G4)</f>
        <v/>
      </c>
      <c r="H5" s="7">
        <f>SUM(H2:H4)</f>
        <v/>
      </c>
      <c r="I5" s="7">
        <f>SUM(I2:I4)</f>
        <v/>
      </c>
      <c r="J5" s="7">
        <f>SUM(J2:J4)</f>
        <v/>
      </c>
      <c r="K5" s="7">
        <f>SUM(K2:K4)</f>
        <v/>
      </c>
      <c r="L5" s="7">
        <f>SUM(L2:L4)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2026-10-26T13:57:46Z</dcterms:created>
  <dcterms:modified xmlns:dcterms="http://purl.org/dc/terms/" xmlns:xsi="http://www.w3.org/2001/XMLSchema-instance" xsi:type="dcterms:W3CDTF">2026-10-26T13:57:46Z</dcterms:modified>
</cp:coreProperties>
</file>